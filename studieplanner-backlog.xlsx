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ien\Projecten\studieplanner\"/>
    </mc:Choice>
  </mc:AlternateContent>
  <xr:revisionPtr revIDLastSave="0" documentId="13_ncr:1_{23BF7F7E-6F84-4C90-A805-C4FFE726524B}" xr6:coauthVersionLast="47" xr6:coauthVersionMax="47" xr10:uidLastSave="{00000000-0000-0000-0000-000000000000}"/>
  <bookViews>
    <workbookView xWindow="4440" yWindow="1815" windowWidth="21600" windowHeight="11295" tabRatio="500" xr2:uid="{00000000-000D-0000-FFFF-FFFF00000000}"/>
  </bookViews>
  <sheets>
    <sheet name="Backlog" sheetId="1" r:id="rId1"/>
    <sheet name="Gereed" sheetId="2" r:id="rId2"/>
    <sheet name="Samenvatting" sheetId="3" r:id="rId3"/>
  </sheets>
  <definedNames>
    <definedName name="_xlnm._FilterDatabase" localSheetId="0" hidden="1">Backlog!$A$1:$G$18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B9" i="3"/>
  <c r="B8" i="3"/>
  <c r="B5" i="3"/>
  <c r="B4" i="3"/>
</calcChain>
</file>

<file path=xl/sharedStrings.xml><?xml version="1.0" encoding="utf-8"?>
<sst xmlns="http://schemas.openxmlformats.org/spreadsheetml/2006/main" count="196" uniqueCount="109">
  <si>
    <t>ID</t>
  </si>
  <si>
    <t>Categorie</t>
  </si>
  <si>
    <t>Item</t>
  </si>
  <si>
    <t>Waarom</t>
  </si>
  <si>
    <t>Prioriteit</t>
  </si>
  <si>
    <t>Omvang</t>
  </si>
  <si>
    <t>Status</t>
  </si>
  <si>
    <t>B01</t>
  </si>
  <si>
    <t>Samenwerken</t>
  </si>
  <si>
    <t>Uitnodigingsflow met eenmalig token</t>
  </si>
  <si>
    <t>Dochter kan nu alleen handmatig via Supabase Users worden toegevoegd</t>
  </si>
  <si>
    <t>Hoog</t>
  </si>
  <si>
    <t>M</t>
  </si>
  <si>
    <t>Open</t>
  </si>
  <si>
    <t>B02</t>
  </si>
  <si>
    <t>Rol STUDENT afdwingen in RLS</t>
  </si>
  <si>
    <t>Leerling mag nu evenveel als ouder</t>
  </si>
  <si>
    <t>B03</t>
  </si>
  <si>
    <t>Meerdere leerlingen per household</t>
  </si>
  <si>
    <t>ensure_student pakt altijd de eerste leerling</t>
  </si>
  <si>
    <t>Laag</t>
  </si>
  <si>
    <t>B04</t>
  </si>
  <si>
    <t>Functioneel</t>
  </si>
  <si>
    <t>Taken koppelen aan toets</t>
  </si>
  <si>
    <t>Kolom assessment_id in tasks bestaat maar wordt niet gebruikt</t>
  </si>
  <si>
    <t>S</t>
  </si>
  <si>
    <t>B05</t>
  </si>
  <si>
    <t>Taken bewerken</t>
  </si>
  <si>
    <t>Nu alleen toevoegen en verwijderen</t>
  </si>
  <si>
    <t>Midden</t>
  </si>
  <si>
    <t>B06</t>
  </si>
  <si>
    <t>Vak hernoemen of op inactief zetten</t>
  </si>
  <si>
    <t>Kolom active bestaat maar is niet bedienbaar</t>
  </si>
  <si>
    <t>B07</t>
  </si>
  <si>
    <t>Blokken herordenen binnen een dag</t>
  </si>
  <si>
    <t>position_key staat klaar maar wordt niet gebruikt</t>
  </si>
  <si>
    <t>B08</t>
  </si>
  <si>
    <t>Duur van blok aanpassen na aanmaken</t>
  </si>
  <si>
    <t>Nu alleen bij het toevoegen instelbaar</t>
  </si>
  <si>
    <t>B09</t>
  </si>
  <si>
    <t>Automatisch blokken verdelen voor een toets</t>
  </si>
  <si>
    <t>Terugtellen vanaf toetsdatum; kern van studieplanning</t>
  </si>
  <si>
    <t>L</t>
  </si>
  <si>
    <t>B10</t>
  </si>
  <si>
    <t>Robuustheid</t>
  </si>
  <si>
    <t>Optimistic locking via version-kolom</t>
  </si>
  <si>
    <t>Bij gelijktijdig werken overschrijft de laatste zonder waarschuwing</t>
  </si>
  <si>
    <t>B11</t>
  </si>
  <si>
    <t>Realtime updates via Supabase</t>
  </si>
  <si>
    <t>Wijzigingen zijn nu pas zichtbaar na verversen</t>
  </si>
  <si>
    <t>B12</t>
  </si>
  <si>
    <t>Ongedaan maken na verwijderen</t>
  </si>
  <si>
    <t>Verwijderen is nu definitief zonder bevestiging</t>
  </si>
  <si>
    <t>B13</t>
  </si>
  <si>
    <t>Afwerking</t>
  </si>
  <si>
    <t>PWA zodat app op telefoon installeerbaar is</t>
  </si>
  <si>
    <t>Stond in oorspronkelijk plan; scheelt Apple developerkosten</t>
  </si>
  <si>
    <t>B14</t>
  </si>
  <si>
    <t>Weekoverzicht met totaal minuten per week</t>
  </si>
  <si>
    <t>Minuten per dag is er al; weektotaal ontbreekt</t>
  </si>
  <si>
    <t>B15</t>
  </si>
  <si>
    <t>Eigen subdomein of domeinnaam</t>
  </si>
  <si>
    <t>Nu standaard vercel.app adres</t>
  </si>
  <si>
    <t>B16</t>
  </si>
  <si>
    <t>Beheer</t>
  </si>
  <si>
    <t>Supabase Free pauzeert na week inactiviteit</t>
  </si>
  <si>
    <t>Project moet dan handmatig hervat worden</t>
  </si>
  <si>
    <t>Aandachtspunt</t>
  </si>
  <si>
    <t>B17</t>
  </si>
  <si>
    <t>Eigen SMTP koppelen voor magic links</t>
  </si>
  <si>
    <t>Gratis mailserver heeft strakke rate limit</t>
  </si>
  <si>
    <t>G01</t>
  </si>
  <si>
    <t>Infra</t>
  </si>
  <si>
    <t>Next.js project, GitHub, Vercel deployment</t>
  </si>
  <si>
    <t>Gereed</t>
  </si>
  <si>
    <t>G02</t>
  </si>
  <si>
    <t>Supabase project in EU-regio Frankfurt</t>
  </si>
  <si>
    <t>G03</t>
  </si>
  <si>
    <t>Database</t>
  </si>
  <si>
    <t>8 tabellen met RLS deny-by-default en policies</t>
  </si>
  <si>
    <t>G04</t>
  </si>
  <si>
    <t>Auth</t>
  </si>
  <si>
    <t>Inloggen met wachtwoord en magic link, uitloggen</t>
  </si>
  <si>
    <t>G05</t>
  </si>
  <si>
    <t>Household aanmaken via beveiligde functie</t>
  </si>
  <si>
    <t>G06</t>
  </si>
  <si>
    <t>Vakken beheren met kleuren</t>
  </si>
  <si>
    <t>G07</t>
  </si>
  <si>
    <t>Taken per vak met type en notitie</t>
  </si>
  <si>
    <t>G08</t>
  </si>
  <si>
    <t>Weekbord met studieblokken en statussen</t>
  </si>
  <si>
    <t>G09</t>
  </si>
  <si>
    <t>Slepen, dupliceren, gekleurde tegels</t>
  </si>
  <si>
    <t>G10</t>
  </si>
  <si>
    <t>Toetsen met aftelteller en weekbord-banner</t>
  </si>
  <si>
    <t>Studieplanner - stand van zaken</t>
  </si>
  <si>
    <t>Datum</t>
  </si>
  <si>
    <t>23-09-2026</t>
  </si>
  <si>
    <t>Openstaand totaal</t>
  </si>
  <si>
    <t>Gereed totaal</t>
  </si>
  <si>
    <t>Aantal</t>
  </si>
  <si>
    <t>Volgende sprint</t>
  </si>
  <si>
    <t>B04 - Taken koppelen aan toets</t>
  </si>
  <si>
    <t>B18</t>
  </si>
  <si>
    <t>Capaciteit per dag registreren</t>
  </si>
  <si>
    <t>Dan kan je zien of je teveel minuten op de planning hebt staan</t>
  </si>
  <si>
    <t>B19</t>
  </si>
  <si>
    <t>Rooster inlezen</t>
  </si>
  <si>
    <t xml:space="preserve">Magister rooster inlezen kan aangeven wanneer je uit bent en tijd hebt om te studeren.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</si>
</sst>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E2EFDA"/>
        <bgColor rgb="FFC6EFCE"/>
      </patternFill>
    </fill>
    <fill>
      <patternFill patternType="solid">
        <fgColor rgb="FFFFEB9C"/>
        <bgColor rgb="FFE2EFDA"/>
      </patternFill>
    </fill>
    <fill>
      <patternFill patternType="solid">
        <fgColor rgb="FFC6EFCE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2" fillId="0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Normal="100" workbookViewId="0">
      <pane ySplit="1" topLeftCell="A3" activePane="bottomLeft" state="frozen"/>
      <selection pane="bottomLeft" activeCell="A21" sqref="A21"/>
    </sheetView>
  </sheetViews>
  <sheetFormatPr defaultColWidth="8.7109375" defaultRowHeight="15" customHeight="1" x14ac:dyDescent="0.25"/>
  <cols>
    <col min="1" max="1" width="8" customWidth="1"/>
    <col min="2" max="2" width="16" customWidth="1"/>
    <col min="3" max="3" width="42" customWidth="1"/>
    <col min="4" max="4" width="52" customWidth="1"/>
    <col min="5" max="5" width="12" customWidth="1"/>
    <col min="6" max="6" width="10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15</v>
      </c>
      <c r="D3" s="2" t="s">
        <v>16</v>
      </c>
      <c r="E3" s="3" t="s">
        <v>11</v>
      </c>
      <c r="F3" s="4" t="s">
        <v>12</v>
      </c>
      <c r="G3" s="2" t="s">
        <v>13</v>
      </c>
    </row>
    <row r="4" spans="1:7" x14ac:dyDescent="0.25">
      <c r="A4" s="2" t="s">
        <v>17</v>
      </c>
      <c r="B4" s="2" t="s">
        <v>8</v>
      </c>
      <c r="C4" s="2" t="s">
        <v>18</v>
      </c>
      <c r="D4" s="2" t="s">
        <v>19</v>
      </c>
      <c r="E4" s="5" t="s">
        <v>20</v>
      </c>
      <c r="F4" s="4" t="s">
        <v>12</v>
      </c>
      <c r="G4" s="2" t="s">
        <v>13</v>
      </c>
    </row>
    <row r="5" spans="1:7" ht="25.5" x14ac:dyDescent="0.25">
      <c r="A5" s="2" t="s">
        <v>21</v>
      </c>
      <c r="B5" s="2" t="s">
        <v>22</v>
      </c>
      <c r="C5" s="2" t="s">
        <v>23</v>
      </c>
      <c r="D5" s="2" t="s">
        <v>24</v>
      </c>
      <c r="E5" s="3" t="s">
        <v>11</v>
      </c>
      <c r="F5" s="4" t="s">
        <v>25</v>
      </c>
      <c r="G5" s="2" t="s">
        <v>13</v>
      </c>
    </row>
    <row r="6" spans="1:7" x14ac:dyDescent="0.25">
      <c r="A6" s="2" t="s">
        <v>26</v>
      </c>
      <c r="B6" s="2" t="s">
        <v>22</v>
      </c>
      <c r="C6" s="2" t="s">
        <v>27</v>
      </c>
      <c r="D6" s="2" t="s">
        <v>28</v>
      </c>
      <c r="E6" s="6" t="s">
        <v>29</v>
      </c>
      <c r="F6" s="4" t="s">
        <v>25</v>
      </c>
      <c r="G6" s="2" t="s">
        <v>13</v>
      </c>
    </row>
    <row r="7" spans="1:7" x14ac:dyDescent="0.25">
      <c r="A7" s="2" t="s">
        <v>30</v>
      </c>
      <c r="B7" s="2" t="s">
        <v>22</v>
      </c>
      <c r="C7" s="2" t="s">
        <v>31</v>
      </c>
      <c r="D7" s="2" t="s">
        <v>32</v>
      </c>
      <c r="E7" s="6" t="s">
        <v>29</v>
      </c>
      <c r="F7" s="4" t="s">
        <v>25</v>
      </c>
      <c r="G7" s="2" t="s">
        <v>13</v>
      </c>
    </row>
    <row r="8" spans="1:7" x14ac:dyDescent="0.25">
      <c r="A8" s="2" t="s">
        <v>33</v>
      </c>
      <c r="B8" s="2" t="s">
        <v>22</v>
      </c>
      <c r="C8" s="2" t="s">
        <v>34</v>
      </c>
      <c r="D8" s="2" t="s">
        <v>35</v>
      </c>
      <c r="E8" s="6" t="s">
        <v>29</v>
      </c>
      <c r="F8" s="4" t="s">
        <v>12</v>
      </c>
      <c r="G8" s="2" t="s">
        <v>13</v>
      </c>
    </row>
    <row r="9" spans="1:7" x14ac:dyDescent="0.25">
      <c r="A9" s="2" t="s">
        <v>36</v>
      </c>
      <c r="B9" s="2" t="s">
        <v>22</v>
      </c>
      <c r="C9" s="2" t="s">
        <v>37</v>
      </c>
      <c r="D9" s="2" t="s">
        <v>38</v>
      </c>
      <c r="E9" s="6" t="s">
        <v>29</v>
      </c>
      <c r="F9" s="4" t="s">
        <v>25</v>
      </c>
      <c r="G9" s="2" t="s">
        <v>13</v>
      </c>
    </row>
    <row r="10" spans="1:7" x14ac:dyDescent="0.25">
      <c r="A10" s="2" t="s">
        <v>39</v>
      </c>
      <c r="B10" s="2" t="s">
        <v>22</v>
      </c>
      <c r="C10" s="2" t="s">
        <v>40</v>
      </c>
      <c r="D10" s="2" t="s">
        <v>41</v>
      </c>
      <c r="E10" s="6" t="s">
        <v>29</v>
      </c>
      <c r="F10" s="4" t="s">
        <v>42</v>
      </c>
      <c r="G10" s="2" t="s">
        <v>13</v>
      </c>
    </row>
    <row r="11" spans="1:7" ht="25.5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6" t="s">
        <v>29</v>
      </c>
      <c r="F11" s="4" t="s">
        <v>12</v>
      </c>
      <c r="G11" s="2" t="s">
        <v>13</v>
      </c>
    </row>
    <row r="12" spans="1:7" x14ac:dyDescent="0.25">
      <c r="A12" s="2" t="s">
        <v>47</v>
      </c>
      <c r="B12" s="2" t="s">
        <v>44</v>
      </c>
      <c r="C12" s="2" t="s">
        <v>48</v>
      </c>
      <c r="D12" s="2" t="s">
        <v>49</v>
      </c>
      <c r="E12" s="5" t="s">
        <v>20</v>
      </c>
      <c r="F12" s="4" t="s">
        <v>12</v>
      </c>
      <c r="G12" s="2" t="s">
        <v>13</v>
      </c>
    </row>
    <row r="13" spans="1:7" x14ac:dyDescent="0.25">
      <c r="A13" s="2" t="s">
        <v>50</v>
      </c>
      <c r="B13" s="2" t="s">
        <v>44</v>
      </c>
      <c r="C13" s="2" t="s">
        <v>51</v>
      </c>
      <c r="D13" s="2" t="s">
        <v>52</v>
      </c>
      <c r="E13" s="5" t="s">
        <v>20</v>
      </c>
      <c r="F13" s="4" t="s">
        <v>25</v>
      </c>
      <c r="G13" s="2" t="s">
        <v>13</v>
      </c>
    </row>
    <row r="14" spans="1:7" x14ac:dyDescent="0.25">
      <c r="A14" s="2" t="s">
        <v>53</v>
      </c>
      <c r="B14" s="2" t="s">
        <v>54</v>
      </c>
      <c r="C14" s="2" t="s">
        <v>55</v>
      </c>
      <c r="D14" s="2" t="s">
        <v>56</v>
      </c>
      <c r="E14" s="6" t="s">
        <v>29</v>
      </c>
      <c r="F14" s="4" t="s">
        <v>12</v>
      </c>
      <c r="G14" s="2" t="s">
        <v>13</v>
      </c>
    </row>
    <row r="15" spans="1:7" x14ac:dyDescent="0.25">
      <c r="A15" s="2" t="s">
        <v>57</v>
      </c>
      <c r="B15" s="2" t="s">
        <v>54</v>
      </c>
      <c r="C15" s="2" t="s">
        <v>58</v>
      </c>
      <c r="D15" s="2" t="s">
        <v>59</v>
      </c>
      <c r="E15" s="5" t="s">
        <v>20</v>
      </c>
      <c r="F15" s="4" t="s">
        <v>25</v>
      </c>
      <c r="G15" s="2" t="s">
        <v>13</v>
      </c>
    </row>
    <row r="16" spans="1:7" x14ac:dyDescent="0.25">
      <c r="A16" s="2" t="s">
        <v>60</v>
      </c>
      <c r="B16" s="2" t="s">
        <v>54</v>
      </c>
      <c r="C16" s="2" t="s">
        <v>61</v>
      </c>
      <c r="D16" s="2" t="s">
        <v>62</v>
      </c>
      <c r="E16" s="5" t="s">
        <v>20</v>
      </c>
      <c r="F16" s="4" t="s">
        <v>25</v>
      </c>
      <c r="G16" s="2" t="s">
        <v>13</v>
      </c>
    </row>
    <row r="17" spans="1:7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5" t="s">
        <v>20</v>
      </c>
      <c r="F17" s="4" t="s">
        <v>25</v>
      </c>
      <c r="G17" s="2" t="s">
        <v>67</v>
      </c>
    </row>
    <row r="18" spans="1:7" x14ac:dyDescent="0.25">
      <c r="A18" s="2" t="s">
        <v>68</v>
      </c>
      <c r="B18" s="2" t="s">
        <v>64</v>
      </c>
      <c r="C18" s="2" t="s">
        <v>69</v>
      </c>
      <c r="D18" s="2" t="s">
        <v>70</v>
      </c>
      <c r="E18" s="5" t="s">
        <v>20</v>
      </c>
      <c r="F18" s="4" t="s">
        <v>12</v>
      </c>
      <c r="G18" s="2" t="s">
        <v>13</v>
      </c>
    </row>
    <row r="19" spans="1:7" ht="15" customHeight="1" x14ac:dyDescent="0.25">
      <c r="A19" s="13" t="s">
        <v>103</v>
      </c>
      <c r="B19" s="13" t="s">
        <v>22</v>
      </c>
      <c r="C19" s="13" t="s">
        <v>104</v>
      </c>
      <c r="D19" s="13" t="s">
        <v>105</v>
      </c>
      <c r="E19" s="14" t="s">
        <v>11</v>
      </c>
      <c r="F19" s="15" t="s">
        <v>25</v>
      </c>
      <c r="G19" s="13" t="s">
        <v>13</v>
      </c>
    </row>
    <row r="20" spans="1:7" ht="15" customHeight="1" x14ac:dyDescent="0.25">
      <c r="A20" s="13" t="s">
        <v>106</v>
      </c>
      <c r="B20" s="13" t="s">
        <v>22</v>
      </c>
      <c r="C20" s="13" t="s">
        <v>107</v>
      </c>
      <c r="D20" s="13" t="s">
        <v>108</v>
      </c>
      <c r="E20" s="14" t="s">
        <v>29</v>
      </c>
      <c r="F20" s="15" t="s">
        <v>12</v>
      </c>
      <c r="G20" s="13" t="s">
        <v>13</v>
      </c>
    </row>
  </sheetData>
  <autoFilter ref="A1:G1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1" width="8" customWidth="1"/>
    <col min="2" max="2" width="16" customWidth="1"/>
    <col min="3" max="3" width="55" customWidth="1"/>
    <col min="4" max="4" width="14" customWidth="1"/>
  </cols>
  <sheetData>
    <row r="1" spans="1:4" x14ac:dyDescent="0.25">
      <c r="A1" s="7" t="s">
        <v>0</v>
      </c>
      <c r="B1" s="7" t="s">
        <v>1</v>
      </c>
      <c r="C1" s="7" t="s">
        <v>2</v>
      </c>
      <c r="D1" s="7" t="s">
        <v>6</v>
      </c>
    </row>
    <row r="2" spans="1:4" x14ac:dyDescent="0.25">
      <c r="A2" s="2" t="s">
        <v>71</v>
      </c>
      <c r="B2" s="2" t="s">
        <v>72</v>
      </c>
      <c r="C2" s="2" t="s">
        <v>73</v>
      </c>
      <c r="D2" s="8" t="s">
        <v>74</v>
      </c>
    </row>
    <row r="3" spans="1:4" x14ac:dyDescent="0.25">
      <c r="A3" s="2" t="s">
        <v>75</v>
      </c>
      <c r="B3" s="2" t="s">
        <v>72</v>
      </c>
      <c r="C3" s="2" t="s">
        <v>76</v>
      </c>
      <c r="D3" s="8" t="s">
        <v>74</v>
      </c>
    </row>
    <row r="4" spans="1:4" x14ac:dyDescent="0.25">
      <c r="A4" s="2" t="s">
        <v>77</v>
      </c>
      <c r="B4" s="2" t="s">
        <v>78</v>
      </c>
      <c r="C4" s="2" t="s">
        <v>79</v>
      </c>
      <c r="D4" s="8" t="s">
        <v>74</v>
      </c>
    </row>
    <row r="5" spans="1:4" x14ac:dyDescent="0.25">
      <c r="A5" s="2" t="s">
        <v>80</v>
      </c>
      <c r="B5" s="2" t="s">
        <v>81</v>
      </c>
      <c r="C5" s="2" t="s">
        <v>82</v>
      </c>
      <c r="D5" s="8" t="s">
        <v>74</v>
      </c>
    </row>
    <row r="6" spans="1:4" x14ac:dyDescent="0.25">
      <c r="A6" s="2" t="s">
        <v>83</v>
      </c>
      <c r="B6" s="2" t="s">
        <v>22</v>
      </c>
      <c r="C6" s="2" t="s">
        <v>84</v>
      </c>
      <c r="D6" s="8" t="s">
        <v>74</v>
      </c>
    </row>
    <row r="7" spans="1:4" x14ac:dyDescent="0.25">
      <c r="A7" s="2" t="s">
        <v>85</v>
      </c>
      <c r="B7" s="2" t="s">
        <v>22</v>
      </c>
      <c r="C7" s="2" t="s">
        <v>86</v>
      </c>
      <c r="D7" s="8" t="s">
        <v>74</v>
      </c>
    </row>
    <row r="8" spans="1:4" x14ac:dyDescent="0.25">
      <c r="A8" s="2" t="s">
        <v>87</v>
      </c>
      <c r="B8" s="2" t="s">
        <v>22</v>
      </c>
      <c r="C8" s="2" t="s">
        <v>88</v>
      </c>
      <c r="D8" s="8" t="s">
        <v>74</v>
      </c>
    </row>
    <row r="9" spans="1:4" x14ac:dyDescent="0.25">
      <c r="A9" s="2" t="s">
        <v>89</v>
      </c>
      <c r="B9" s="2" t="s">
        <v>22</v>
      </c>
      <c r="C9" s="2" t="s">
        <v>90</v>
      </c>
      <c r="D9" s="8" t="s">
        <v>74</v>
      </c>
    </row>
    <row r="10" spans="1:4" x14ac:dyDescent="0.25">
      <c r="A10" s="2" t="s">
        <v>91</v>
      </c>
      <c r="B10" s="2" t="s">
        <v>22</v>
      </c>
      <c r="C10" s="2" t="s">
        <v>92</v>
      </c>
      <c r="D10" s="8" t="s">
        <v>74</v>
      </c>
    </row>
    <row r="11" spans="1:4" x14ac:dyDescent="0.25">
      <c r="A11" s="2" t="s">
        <v>93</v>
      </c>
      <c r="B11" s="2" t="s">
        <v>22</v>
      </c>
      <c r="C11" s="2" t="s">
        <v>94</v>
      </c>
      <c r="D11" s="8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/>
  </sheetViews>
  <sheetFormatPr defaultColWidth="8.7109375" defaultRowHeight="15" customHeight="1" x14ac:dyDescent="0.25"/>
  <cols>
    <col min="1" max="1" width="24" customWidth="1"/>
    <col min="2" max="2" width="36" customWidth="1"/>
  </cols>
  <sheetData>
    <row r="1" spans="1:2" ht="18" x14ac:dyDescent="0.25">
      <c r="A1" s="9" t="s">
        <v>95</v>
      </c>
    </row>
    <row r="3" spans="1:2" x14ac:dyDescent="0.25">
      <c r="A3" s="10" t="s">
        <v>96</v>
      </c>
      <c r="B3" s="11" t="s">
        <v>97</v>
      </c>
    </row>
    <row r="4" spans="1:2" x14ac:dyDescent="0.25">
      <c r="A4" s="10" t="s">
        <v>98</v>
      </c>
      <c r="B4" s="11">
        <f>COUNTA(Backlog!A2:A100)</f>
        <v>19</v>
      </c>
    </row>
    <row r="5" spans="1:2" x14ac:dyDescent="0.25">
      <c r="A5" s="10" t="s">
        <v>99</v>
      </c>
      <c r="B5" s="11">
        <f>COUNTA(Gereed!A2:A100)</f>
        <v>10</v>
      </c>
    </row>
    <row r="7" spans="1:2" x14ac:dyDescent="0.25">
      <c r="A7" s="12" t="s">
        <v>4</v>
      </c>
      <c r="B7" s="12" t="s">
        <v>100</v>
      </c>
    </row>
    <row r="8" spans="1:2" x14ac:dyDescent="0.25">
      <c r="A8" s="10" t="s">
        <v>11</v>
      </c>
      <c r="B8" s="11">
        <f>COUNTIF(Backlog!E:E,"Hoog")</f>
        <v>4</v>
      </c>
    </row>
    <row r="9" spans="1:2" x14ac:dyDescent="0.25">
      <c r="A9" s="10" t="s">
        <v>29</v>
      </c>
      <c r="B9" s="11">
        <f>COUNTIF(Backlog!E:E,"Midden")</f>
        <v>8</v>
      </c>
    </row>
    <row r="10" spans="1:2" x14ac:dyDescent="0.25">
      <c r="A10" s="10" t="s">
        <v>20</v>
      </c>
      <c r="B10" s="11">
        <f>COUNTIF(Backlog!E:E,"Laag")</f>
        <v>7</v>
      </c>
    </row>
    <row r="12" spans="1:2" x14ac:dyDescent="0.25">
      <c r="A12" s="10" t="s">
        <v>101</v>
      </c>
      <c r="B12" s="11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Backlog</vt:lpstr>
      <vt:lpstr>Gereed</vt:lpstr>
      <vt:lpstr>Samenvatting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Etienne van Vrijaldenhoven</dc:creator>
  <cp:keywords/>
  <dc:description/>
  <cp:lastModifiedBy>etienne van vrijaldenhoven</cp:lastModifiedBy>
  <cp:revision>0</cp:revision>
  <dcterms:created xsi:type="dcterms:W3CDTF">2026-09-23T18:25:03Z</dcterms:created>
  <dcterms:modified xsi:type="dcterms:W3CDTF">2026-09-23T18:28:51Z</dcterms:modified>
  <cp:category/>
  <cp:contentStatus/>
</cp:coreProperties>
</file>